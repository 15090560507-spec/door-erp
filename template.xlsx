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 (2)" sheetId="4" r:id="rId1"/>
    <sheet name="Sheet2" sheetId="2" r:id="rId2"/>
    <sheet name="Sheet3" sheetId="3" r:id="rId3"/>
  </sheets>
  <definedNames>
    <definedName name="CustomerName">'Sheet1 (2)'!$C$3:$F$3</definedName>
    <definedName name="ProjectName">'Sheet1 (2)'!$C$4:$F$4</definedName>
    <definedName name="QuoteDate">'Sheet1 (2)'!$I$3:$J$3</definedName>
    <definedName name="ProductNames">'Sheet1 (2)'!$B$9:$C$16</definedName>
    <definedName name="Widths">'Sheet1 (2)'!$D$9:$D$16</definedName>
    <definedName name="Heights">'Sheet1 (2)'!$E$9:$E$16</definedName>
    <definedName name="OpenDirections">'Sheet1 (2)'!$F$9:$F$16</definedName>
    <definedName name="Units">'Sheet1 (2)'!$G$9:$G$16</definedName>
    <definedName name="UnitPrices">'Sheet1 (2)'!$I$9:$I$16</definedName>
    <definedName name="QuotePrintArea">'Sheet1 (2)'!$A$1:$J$24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<sst xmlns="http://schemas.openxmlformats.org/spreadsheetml/2006/main" count="24" uniqueCount="24">
  <si>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浙江西州将军门业有限公司</t>
  </si>
  <si>
    <t>客户名称：</t>
  </si>
  <si>
    <t>日期：</t>
  </si>
  <si>
    <t>项目名称：</t>
  </si>
  <si>
    <t>主题：</t>
  </si>
  <si>
    <t>产品报价单</t>
  </si>
  <si>
    <t xml:space="preserve">    承蒙关照，感谢贵方对我方产品感兴趣，根据贵方要求，报上我公司价格，可随时来电来函告知，我们将及时为您提供。</t>
  </si>
  <si>
    <t>序号</t>
  </si>
  <si>
    <t>品名型号</t>
  </si>
  <si>
    <t>规格</t>
  </si>
  <si>
    <t>开启方向</t>
  </si>
  <si>
    <t>单位</t>
  </si>
  <si>
    <t>数量</t>
  </si>
  <si>
    <t>单价</t>
  </si>
  <si>
    <t>总金额/元</t>
  </si>
  <si>
    <t>宽</t>
  </si>
  <si>
    <t>高</t>
  </si>
  <si>
    <t xml:space="preserve"> </t>
  </si>
  <si>
    <t>合计</t>
  </si>
  <si>
    <t>合计总金额（大写）：</t>
  </si>
  <si>
    <t>本报价不含税工厂结算价，不含木箱。</t>
  </si>
  <si>
    <t>1.付款方式:确定制作，先安排货款50%的定金，款清发货
2.以上价格不包含运费、安装调试费、测量等费用。
3.请及时确定签字回传，我司以收到贵方签字回传单以及保证金为准，方可安排生产</t>
  </si>
  <si>
    <t>开票资料:对公账户公司名称杭州浙家门业有限公司账产
号码:3301041060000451769                                                                   开户银行:杭州银行富阳支行
法定代表人:王家龙基本存款
账户编号:J3310198780901</t>
  </si>
  <si>
    <t>汇款请汇入以下账户
户名：张春兰
账号：622848 0329 2739 08775
汇款行农业银行浙江省分行杭州市上泗支行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</si>
</sst>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;;"/>
    <numFmt numFmtId="178" formatCode="0;;"/>
    <numFmt numFmtId="179" formatCode="0_ "/>
    <numFmt numFmtId="180" formatCode="0.00_ "/>
    <numFmt numFmtId="181" formatCode="General;;"/>
  </numFmts>
  <fonts count="30">
    <font>
      <sz val="11"/>
      <color theme="1"/>
      <name val="宋体"/>
      <charset val="134"/>
      <scheme val="minor"/>
    </font>
    <font>
      <b/>
      <sz val="20"/>
      <name val="楷体_GB2312"/>
      <charset val="134"/>
    </font>
    <font>
      <sz val="14"/>
      <name val="宋体"/>
      <charset val="134"/>
    </font>
    <font>
      <b/>
      <sz val="16"/>
      <color rgb="FF000000"/>
      <name val="楷体_GB2312"/>
      <charset val="134"/>
    </font>
    <font>
      <b/>
      <sz val="16"/>
      <color indexed="8"/>
      <name val="楷体_GB2312"/>
      <charset val="134"/>
    </font>
    <font>
      <b/>
      <sz val="12"/>
      <color indexed="3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color rgb="FFFF0000"/>
      <name val="楷体_GB2312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6" fillId="0" borderId="9" xfId="0" applyFont="1" applyFill="1" applyBorder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176" fontId="7" fillId="0" borderId="1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0" fontId="6" fillId="0" borderId="0" xfId="0" applyFont="1" applyFill="1" applyBorder="1" applyAlignment="1"/>
    <xf numFmtId="0" fontId="7" fillId="0" borderId="1" xfId="0" applyFont="1" applyFill="1" applyBorder="1" applyAlignment="1"/>
    <xf numFmtId="177" fontId="7" fillId="0" borderId="1" xfId="0" applyNumberFormat="1" applyFont="1" applyFill="1" applyBorder="1" applyAlignment="1">
      <alignment horizontal="center"/>
    </xf>
    <xf numFmtId="178" fontId="7" fillId="0" borderId="1" xfId="0" applyNumberFormat="1" applyFont="1" applyFill="1" applyBorder="1" applyAlignment="1">
      <alignment horizontal="center"/>
    </xf>
    <xf numFmtId="176" fontId="7" fillId="0" borderId="1" xfId="0" applyNumberFormat="1" applyFont="1" applyFill="1" applyBorder="1" applyAlignment="1"/>
    <xf numFmtId="179" fontId="6" fillId="0" borderId="0" xfId="0" applyNumberFormat="1" applyFont="1" applyFill="1" applyBorder="1" applyAlignment="1"/>
    <xf numFmtId="0" fontId="6" fillId="2" borderId="1" xfId="0" applyFont="1" applyFill="1" applyBorder="1" applyAlignment="1"/>
    <xf numFmtId="0" fontId="6" fillId="2" borderId="9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80" fontId="7" fillId="2" borderId="1" xfId="0" applyNumberFormat="1" applyFont="1" applyFill="1" applyBorder="1" applyAlignment="1">
      <alignment horizontal="center"/>
    </xf>
    <xf numFmtId="178" fontId="7" fillId="2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181" fontId="8" fillId="0" borderId="9" xfId="0" applyNumberFormat="1" applyFont="1" applyFill="1" applyBorder="1" applyAlignment="1">
      <alignment horizontal="right" vertical="center"/>
    </xf>
    <xf numFmtId="181" fontId="8" fillId="0" borderId="10" xfId="0" applyNumberFormat="1" applyFont="1" applyFill="1" applyBorder="1" applyAlignment="1">
      <alignment horizontal="right" vertical="center"/>
    </xf>
    <xf numFmtId="181" fontId="8" fillId="0" borderId="5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/>
    </xf>
    <xf numFmtId="0" fontId="9" fillId="3" borderId="1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9" fillId="3" borderId="11" xfId="0" applyFont="1" applyFill="1" applyBorder="1" applyAlignment="1">
      <alignment vertical="center"/>
    </xf>
    <xf numFmtId="0" fontId="0" fillId="0" borderId="0" xfId="0" applyNumberForma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13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abSelected="1" zoomScale="85" zoomScaleNormal="85" workbookViewId="0">
      <selection activeCell="M11" sqref="M11"/>
    </sheetView>
  </sheetViews>
  <sheetFormatPr defaultColWidth="9" defaultRowHeight="13.5"/>
  <cols>
    <col min="1" max="1" width="8.74166666666667" customWidth="1"/>
    <col min="3" max="3" width="31.525" customWidth="1"/>
    <col min="4" max="5" width="10.625" customWidth="1"/>
    <col min="7" max="7" width="6.10833333333333" customWidth="1"/>
    <col min="8" max="8" width="8.75" customWidth="1"/>
    <col min="9" max="9" width="7.775" customWidth="1"/>
    <col min="10" max="10" width="18.675" customWidth="1"/>
    <col min="11" max="11" width="15" customWidth="1"/>
  </cols>
  <sheetData>
    <row r="1" ht="18.7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ht="19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 ht="20.25" spans="1:12">
      <c r="A3" s="3" t="s">
        <v>1</v>
      </c>
      <c r="B3" s="3"/>
      <c r="C3" s="3"/>
      <c r="D3" s="3"/>
      <c r="E3" s="3"/>
      <c r="F3" s="3"/>
      <c r="G3" s="4" t="s">
        <v>2</v>
      </c>
      <c r="H3" s="5"/>
      <c r="I3" s="6"/>
      <c r="J3" s="6"/>
      <c r="K3" s="2"/>
    </row>
    <row r="4" ht="20.25" spans="1:12">
      <c r="A4" s="3" t="s">
        <v>3</v>
      </c>
      <c r="B4" s="3"/>
      <c r="C4" s="3"/>
      <c r="D4" s="3"/>
      <c r="E4" s="3"/>
      <c r="F4" s="3"/>
      <c r="G4" s="4" t="s">
        <v>4</v>
      </c>
      <c r="H4" s="5"/>
      <c r="I4" s="6" t="s">
        <v>5</v>
      </c>
      <c r="J4" s="6"/>
      <c r="K4" s="2"/>
    </row>
    <row r="5" ht="32" customHeight="1" spans="1:12">
      <c r="A5" s="7" t="s">
        <v>6</v>
      </c>
      <c r="B5" s="8"/>
      <c r="C5" s="8"/>
      <c r="D5" s="8"/>
      <c r="E5" s="8"/>
      <c r="F5" s="8"/>
      <c r="G5" s="8"/>
      <c r="H5" s="8"/>
      <c r="I5" s="8"/>
      <c r="J5" s="8"/>
      <c r="K5" s="2"/>
    </row>
    <row r="6" ht="32" customHeight="1" spans="1:12">
      <c r="A6" s="8"/>
      <c r="B6" s="8"/>
      <c r="C6" s="8"/>
      <c r="D6" s="8"/>
      <c r="E6" s="8"/>
      <c r="F6" s="8"/>
      <c r="G6" s="8"/>
      <c r="H6" s="8"/>
      <c r="I6" s="8"/>
      <c r="J6" s="8"/>
      <c r="K6" s="2"/>
    </row>
    <row r="7" ht="18.75" spans="1:12">
      <c r="A7" s="9" t="s">
        <v>7</v>
      </c>
      <c r="B7" s="10" t="s">
        <v>8</v>
      </c>
      <c r="C7" s="11"/>
      <c r="D7" s="12" t="s">
        <v>9</v>
      </c>
      <c r="E7" s="12"/>
      <c r="F7" s="13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2"/>
    </row>
    <row r="8" ht="18.75" spans="1:12">
      <c r="A8" s="15"/>
      <c r="B8" s="16"/>
      <c r="C8" s="17"/>
      <c r="D8" s="18" t="s">
        <v>15</v>
      </c>
      <c r="E8" s="12" t="s">
        <v>16</v>
      </c>
      <c r="F8" s="13"/>
      <c r="G8" s="14"/>
      <c r="H8" s="14"/>
      <c r="I8" s="14"/>
      <c r="J8" s="14"/>
      <c r="K8" s="2"/>
      <c r="L8" t="s">
        <v>17</v>
      </c>
    </row>
    <row r="9" customFormat="1" ht="25" customHeight="1" spans="1:12">
      <c r="A9" s="19" t="str">
        <f>IF(B9&lt;&gt;"",COUNTA($B$9:B9),"")</f>
        <v/>
      </c>
      <c r="B9" s="20"/>
      <c r="C9" s="21"/>
      <c r="D9" s="22">
        <v>2323</v>
      </c>
      <c r="E9" s="23">
        <v>1231</v>
      </c>
      <c r="F9" s="23"/>
      <c r="G9" s="24"/>
      <c r="H9" s="25">
        <f>D9*E9*0.000001</f>
        <v>2.859613</v>
      </c>
      <c r="I9" s="23"/>
      <c r="J9" s="26">
        <f>H9*I9</f>
        <v>0</v>
      </c>
      <c r="K9" s="27"/>
    </row>
    <row r="10" customFormat="1" ht="25" customHeight="1" spans="1:12">
      <c r="A10" s="19" t="str">
        <f>IF(B10&lt;&gt;"",COUNTA($B$9:B10),"")</f>
        <v/>
      </c>
      <c r="B10" s="20"/>
      <c r="C10" s="21"/>
      <c r="D10" s="22"/>
      <c r="E10" s="28"/>
      <c r="F10" s="28"/>
      <c r="G10" s="28"/>
      <c r="H10" s="29">
        <f>D10*E10*0.000001</f>
        <v>0</v>
      </c>
      <c r="I10" s="23"/>
      <c r="J10" s="30">
        <f t="shared" ref="J9:J15" si="0">ROUND((I10*H10),0)</f>
        <v>0</v>
      </c>
      <c r="K10" s="27"/>
    </row>
    <row r="11" customFormat="1" ht="25" customHeight="1" spans="1:12">
      <c r="A11" s="19" t="str">
        <f>IF(B11&lt;&gt;"",COUNTA($B$9:B11),"")</f>
        <v/>
      </c>
      <c r="B11" s="20"/>
      <c r="C11" s="21"/>
      <c r="D11" s="22"/>
      <c r="E11" s="28"/>
      <c r="F11" s="28"/>
      <c r="G11" s="28"/>
      <c r="H11" s="29">
        <f t="shared" ref="H10:H16" si="1">D11*E11*0.000001</f>
        <v>0</v>
      </c>
      <c r="I11" s="23"/>
      <c r="J11" s="30">
        <f t="shared" si="0"/>
        <v>0</v>
      </c>
      <c r="K11" s="27"/>
    </row>
    <row r="12" customFormat="1" ht="25" customHeight="1" spans="1:12">
      <c r="A12" s="19" t="str">
        <f>IF(B12&lt;&gt;"",COUNTA($B$9:B12),"")</f>
        <v/>
      </c>
      <c r="B12" s="20"/>
      <c r="C12" s="21"/>
      <c r="D12" s="22"/>
      <c r="E12" s="28"/>
      <c r="F12" s="23"/>
      <c r="G12" s="24"/>
      <c r="H12" s="29">
        <f t="shared" si="1"/>
        <v>0</v>
      </c>
      <c r="I12" s="23"/>
      <c r="J12" s="30">
        <f t="shared" si="0"/>
        <v>0</v>
      </c>
      <c r="K12" s="27"/>
    </row>
    <row r="13" customFormat="1" ht="25" customHeight="1" spans="1:12">
      <c r="A13" s="19" t="str">
        <f>IF(B13&lt;&gt;"",COUNTA($B$9:B13),"")</f>
        <v/>
      </c>
      <c r="B13" s="20"/>
      <c r="C13" s="21"/>
      <c r="D13" s="22"/>
      <c r="E13" s="28"/>
      <c r="F13" s="28"/>
      <c r="G13" s="28"/>
      <c r="H13" s="29">
        <f t="shared" si="1"/>
        <v>0</v>
      </c>
      <c r="I13" s="23"/>
      <c r="J13" s="30">
        <f t="shared" si="0"/>
        <v>0</v>
      </c>
      <c r="K13" s="27"/>
    </row>
    <row r="14" customFormat="1" ht="25" customHeight="1" spans="1:12">
      <c r="A14" s="19" t="str">
        <f>IF(B14&lt;&gt;"",COUNTA($B$9:B14),"")</f>
        <v/>
      </c>
      <c r="B14" s="20"/>
      <c r="C14" s="21"/>
      <c r="D14" s="22"/>
      <c r="E14" s="28"/>
      <c r="F14" s="31"/>
      <c r="G14" s="31"/>
      <c r="H14" s="29">
        <f t="shared" si="1"/>
        <v>0</v>
      </c>
      <c r="I14" s="23"/>
      <c r="J14" s="30">
        <f t="shared" si="0"/>
        <v>0</v>
      </c>
      <c r="K14" s="27"/>
    </row>
    <row r="15" customFormat="1" ht="25" customHeight="1" spans="1:12">
      <c r="A15" s="19" t="str">
        <f>IF(B15&lt;&gt;"",COUNTA($B$9:B15),"")</f>
        <v/>
      </c>
      <c r="B15" s="20"/>
      <c r="C15" s="21"/>
      <c r="D15" s="19"/>
      <c r="E15" s="19"/>
      <c r="F15" s="19"/>
      <c r="G15" s="19"/>
      <c r="H15" s="29">
        <f t="shared" si="1"/>
        <v>0</v>
      </c>
      <c r="I15" s="19"/>
      <c r="J15" s="19"/>
      <c r="K15" s="27"/>
    </row>
    <row r="16" customFormat="1" ht="25" customHeight="1" spans="1:12">
      <c r="A16" s="19"/>
      <c r="B16" s="20"/>
      <c r="C16" s="21"/>
      <c r="D16" s="19"/>
      <c r="E16" s="19"/>
      <c r="F16" s="19"/>
      <c r="G16" s="19"/>
      <c r="H16" s="29">
        <f t="shared" si="1"/>
        <v>0</v>
      </c>
      <c r="I16" s="19"/>
      <c r="J16" s="19"/>
      <c r="K16" s="32"/>
    </row>
    <row r="17" ht="18.75" spans="1:17">
      <c r="A17" s="33" t="s">
        <v>18</v>
      </c>
      <c r="B17" s="34"/>
      <c r="C17" s="35"/>
      <c r="D17" s="34"/>
      <c r="E17" s="36"/>
      <c r="F17" s="36"/>
      <c r="G17" s="36"/>
      <c r="H17" s="37"/>
      <c r="I17" s="36"/>
      <c r="J17" s="38">
        <f>SUM(J9:J15)</f>
        <v>0</v>
      </c>
      <c r="K17" s="32"/>
    </row>
    <row r="18" ht="20.25" spans="1:17">
      <c r="A18" s="39" t="s">
        <v>19</v>
      </c>
      <c r="B18" s="39"/>
      <c r="C18" s="6"/>
      <c r="D18" s="6"/>
      <c r="E18" s="6"/>
      <c r="F18" s="40" t="str">
        <f>IF(J17=0,"",TEXT(J17,"[dbnum2]")&amp;"元整")</f>
        <v/>
      </c>
      <c r="G18" s="41"/>
      <c r="H18" s="41"/>
      <c r="I18" s="41"/>
      <c r="J18" s="42"/>
    </row>
    <row r="19" ht="34" customHeight="1" spans="1:17">
      <c r="A19" s="43" t="s">
        <v>20</v>
      </c>
      <c r="B19" s="43"/>
      <c r="C19" s="43"/>
      <c r="D19" s="43"/>
      <c r="E19" s="43"/>
      <c r="F19" s="43"/>
      <c r="G19" s="43"/>
      <c r="H19" s="43"/>
      <c r="I19" s="43"/>
      <c r="J19" s="43"/>
    </row>
    <row r="20" ht="22" customHeight="1" spans="1:17">
      <c r="A20" s="44" t="s">
        <v>21</v>
      </c>
      <c r="B20" s="45"/>
      <c r="C20" s="45"/>
      <c r="D20" s="45"/>
      <c r="E20" s="45"/>
      <c r="F20" s="45"/>
      <c r="G20" s="45"/>
      <c r="H20" s="45"/>
      <c r="I20" s="45"/>
      <c r="J20" s="46"/>
      <c r="K20" s="47"/>
    </row>
    <row r="21" ht="22" customHeight="1" spans="1:17">
      <c r="A21" s="48"/>
      <c r="B21" s="45"/>
      <c r="C21" s="45"/>
      <c r="D21" s="45"/>
      <c r="E21" s="45"/>
      <c r="F21" s="45"/>
      <c r="G21" s="45"/>
      <c r="H21" s="45"/>
      <c r="I21" s="45"/>
      <c r="J21" s="46"/>
      <c r="K21" s="47"/>
      <c r="N21" s="49"/>
      <c r="O21" s="49"/>
      <c r="P21" s="49"/>
      <c r="Q21" s="49"/>
    </row>
    <row r="22" ht="22" customHeight="1" spans="1:17">
      <c r="A22" s="50"/>
      <c r="B22" s="51"/>
      <c r="C22" s="51"/>
      <c r="D22" s="51"/>
      <c r="E22" s="51"/>
      <c r="F22" s="51"/>
      <c r="G22" s="51"/>
      <c r="H22" s="51"/>
      <c r="I22" s="51"/>
      <c r="J22" s="52"/>
      <c r="K22" s="47"/>
    </row>
    <row r="23" ht="105" customHeight="1" spans="1:17">
      <c r="A23" s="53" t="s">
        <v>22</v>
      </c>
      <c r="B23" s="54"/>
      <c r="C23" s="54"/>
      <c r="D23" s="54"/>
      <c r="E23" s="54"/>
      <c r="F23" s="54"/>
      <c r="G23" s="54"/>
      <c r="H23" s="54"/>
      <c r="I23" s="54"/>
      <c r="J23" s="55"/>
      <c r="K23" s="47"/>
    </row>
    <row r="24" ht="81" customHeight="1" spans="1:17">
      <c r="A24" s="56" t="s">
        <v>23</v>
      </c>
      <c r="B24" s="56"/>
      <c r="C24" s="56"/>
      <c r="D24" s="56"/>
      <c r="E24" s="56"/>
      <c r="F24" s="56"/>
      <c r="G24" s="56"/>
      <c r="H24" s="56"/>
      <c r="I24" s="56"/>
      <c r="J24" s="56"/>
      <c r="K24" s="47"/>
    </row>
  </sheetData>
  <mergeCells count="33">
    <mergeCell ref="A3:B3"/>
    <mergeCell ref="C3:F3"/>
    <mergeCell ref="G3:H3"/>
    <mergeCell ref="I3:J3"/>
    <mergeCell ref="A4:B4"/>
    <mergeCell ref="C4:F4"/>
    <mergeCell ref="G4:H4"/>
    <mergeCell ref="I4:J4"/>
    <mergeCell ref="D7:E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E18"/>
    <mergeCell ref="F18:J18"/>
    <mergeCell ref="A19:J19"/>
    <mergeCell ref="A23:J23"/>
    <mergeCell ref="A24:J24"/>
    <mergeCell ref="A7:A8"/>
    <mergeCell ref="F7:F8"/>
    <mergeCell ref="G7:G8"/>
    <mergeCell ref="H7:H8"/>
    <mergeCell ref="I7:I8"/>
    <mergeCell ref="J7:J8"/>
    <mergeCell ref="B7:C8"/>
    <mergeCell ref="A1:J2"/>
    <mergeCell ref="A5:J6"/>
    <mergeCell ref="A20:J22"/>
  </mergeCells>
  <pageMargins left="0.161111111111111" right="0.161111111111111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KY-SY001</dc:creator>
  <cp:lastModifiedBy>11</cp:lastModifiedBy>
  <dcterms:created xsi:type="dcterms:W3CDTF">2024-05-31T05:30:00Z</dcterms:created>
  <dcterms:modified xsi:type="dcterms:W3CDTF">2026-05-06T17:18:25Z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E2D12536DF3A4C3F9DA385A8BA1984F5_13</vt:lpwstr>
  </property>
  <property fmtid="{D5CDD505-2E9C-101B-9397-08002B2CF9AE}" pid="4" name="CalculationRule">
    <vt:i4>0</vt:i4>
  </property>
</Properties>
</file>